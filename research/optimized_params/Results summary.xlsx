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lim/Documents/Documents - Jonathan’s MacBook Pro/AlphaDogsResearch/"/>
    </mc:Choice>
  </mc:AlternateContent>
  <xr:revisionPtr revIDLastSave="0" documentId="13_ncr:1_{E74B7446-547B-884B-83E1-AAE0EE7C7D6D}" xr6:coauthVersionLast="47" xr6:coauthVersionMax="47" xr10:uidLastSave="{00000000-0000-0000-0000-000000000000}"/>
  <bookViews>
    <workbookView xWindow="-75300" yWindow="600" windowWidth="47880" windowHeight="42600" xr2:uid="{EED4DAA1-8723-B045-B08C-757E2E6D835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7" i="1" l="1"/>
  <c r="H48" i="1" s="1"/>
  <c r="G47" i="1"/>
  <c r="G48" i="1" s="1"/>
  <c r="H44" i="1"/>
  <c r="G44" i="1"/>
  <c r="AH13" i="1"/>
  <c r="AI16" i="1"/>
  <c r="AI17" i="1" s="1"/>
  <c r="AH16" i="1"/>
  <c r="AH17" i="1" s="1"/>
  <c r="AI13" i="1"/>
  <c r="AF16" i="1"/>
  <c r="AF17" i="1" s="1"/>
  <c r="AE16" i="1"/>
  <c r="AE17" i="1" s="1"/>
  <c r="AF13" i="1"/>
  <c r="AE13" i="1"/>
  <c r="AC16" i="1"/>
  <c r="AC17" i="1" s="1"/>
  <c r="AB16" i="1"/>
  <c r="AB17" i="1" s="1"/>
  <c r="AC13" i="1"/>
  <c r="AB13" i="1"/>
  <c r="Y13" i="1"/>
  <c r="Z16" i="1"/>
  <c r="Z17" i="1" s="1"/>
  <c r="Y16" i="1"/>
  <c r="Y17" i="1" s="1"/>
  <c r="Z13" i="1"/>
  <c r="V13" i="1"/>
  <c r="W16" i="1"/>
  <c r="W17" i="1" s="1"/>
  <c r="V16" i="1"/>
  <c r="V17" i="1" s="1"/>
  <c r="W13" i="1"/>
  <c r="S13" i="1"/>
  <c r="T16" i="1"/>
  <c r="T17" i="1" s="1"/>
  <c r="S16" i="1"/>
  <c r="S17" i="1" s="1"/>
  <c r="T13" i="1"/>
  <c r="Q16" i="1"/>
  <c r="Q17" i="1" s="1"/>
  <c r="P16" i="1"/>
  <c r="P17" i="1" s="1"/>
  <c r="Q13" i="1"/>
  <c r="P13" i="1"/>
  <c r="N16" i="1"/>
  <c r="N17" i="1" s="1"/>
  <c r="M16" i="1"/>
  <c r="M17" i="1" s="1"/>
  <c r="N13" i="1"/>
  <c r="M13" i="1"/>
  <c r="K16" i="1"/>
  <c r="K17" i="1" s="1"/>
  <c r="J16" i="1"/>
  <c r="J17" i="1" s="1"/>
  <c r="K13" i="1"/>
  <c r="J13" i="1"/>
  <c r="H13" i="1"/>
  <c r="H16" i="1"/>
  <c r="H17" i="1" s="1"/>
  <c r="G16" i="1"/>
  <c r="G17" i="1" s="1"/>
  <c r="G13" i="1"/>
  <c r="E16" i="1"/>
  <c r="E17" i="1" s="1"/>
  <c r="E13" i="1"/>
  <c r="D16" i="1"/>
  <c r="D17" i="1" s="1"/>
  <c r="D13" i="1"/>
</calcChain>
</file>

<file path=xl/sharedStrings.xml><?xml version="1.0" encoding="utf-8"?>
<sst xmlns="http://schemas.openxmlformats.org/spreadsheetml/2006/main" count="107" uniqueCount="51">
  <si>
    <t>Strategy statistics</t>
  </si>
  <si>
    <t>In sample</t>
  </si>
  <si>
    <t>RSI</t>
  </si>
  <si>
    <t>Parameters</t>
  </si>
  <si>
    <t>rsi_period = 30
TradingCost = 0.0005
rsi_upper = 67
rsi_lower = 33
rsi_mid = 45
long_action = 1
short_action = -1
max_holding = True
max_holding_val = 15
stop_loss = True
stop_loss_val = 0.106
mode = 'momentum'
exit_mode = 'breakout'</t>
  </si>
  <si>
    <t>Total Churn</t>
  </si>
  <si>
    <t>Total Bars</t>
  </si>
  <si>
    <t>% of trades</t>
  </si>
  <si>
    <t>Annualised</t>
  </si>
  <si>
    <t>Churn</t>
  </si>
  <si>
    <t>Trading cost</t>
  </si>
  <si>
    <t>Hit Rate</t>
  </si>
  <si>
    <t>Slugging Ratio</t>
  </si>
  <si>
    <t>Sharpe</t>
  </si>
  <si>
    <t>Sortino</t>
  </si>
  <si>
    <t>Max drawdown</t>
  </si>
  <si>
    <t>Avg drawdown</t>
  </si>
  <si>
    <t>Equity Final</t>
  </si>
  <si>
    <t>Out of sample</t>
  </si>
  <si>
    <t>Pass / Fail</t>
  </si>
  <si>
    <t>Pass</t>
  </si>
  <si>
    <t>Period</t>
  </si>
  <si>
    <t>2021-1H25</t>
  </si>
  <si>
    <t>2H25-Current</t>
  </si>
  <si>
    <t>ROC</t>
  </si>
  <si>
    <t>roc_period = 22
TradingCost = 0.0005
roc_upper = 3.4
roc_lower = -3.6
roc_mid = -2.1 
long_action = 1
short_action = -1
max_holding = True
max_holding_val = 100
stop_loss = True
stop_loss_val = 0.021
mode = 'mean_reversion'
exit_mode = 'midpoint'</t>
  </si>
  <si>
    <t>Fail</t>
  </si>
  <si>
    <t>Follow up</t>
  </si>
  <si>
    <t>Mean-reversion value, might want assess if momentum works better. Limited mean reverting</t>
  </si>
  <si>
    <t>mom_period = 40
TradingCost = 0.0005
mom_upper = 130
mom_lower = -138
mom_mid = 27 
long_action = 1
short_action = -1
max_holding = True
max_holding_val = 16
stop_loss = True
stop_loss_val = 0.067
mode = 'momentum'
exit_mode = 'breakout'</t>
  </si>
  <si>
    <t>MOM</t>
  </si>
  <si>
    <t>cci_period = 14 
TradingCost = 0.0005
cci_upper = 205
cci_lower = -101
cci_mid = 12 
long_action = 1
short_action = -1
max_holding = True
max_holding_val = 25
stop_loss = True
stop_loss_val = 0.074
mode = 'momentum'
exit_mode = 'midpoint'</t>
  </si>
  <si>
    <t>CCI</t>
  </si>
  <si>
    <t>CMO</t>
  </si>
  <si>
    <t>cmo_period = 24 
TradingCost = 0.0005
cmo_upper = 39
cmo_lower = -33
cmo_mid = -10 
long_action = 1
short_action = -1
max_holding = True
max_holding_val = 10
stop_loss = True
stop_loss_val = 0.04
mode = 'momentum'
exit_mode = 'breakout'</t>
  </si>
  <si>
    <t>TRIX</t>
  </si>
  <si>
    <t>trix_period = 6
TradingCost = 0.0005
trix_upper = 0.0676
trix_lower = -0.0522
trix_mid = -0.0193
long_action = 1
short_action = -1
max_holding = True
max_holding_val = 10
stop_loss = True
stop_loss_val = 0.05
mode = 'momentum'
exit_mode = 'breakout'</t>
  </si>
  <si>
    <t>Fix</t>
  </si>
  <si>
    <t>PPO</t>
  </si>
  <si>
    <t xml:space="preserve">    ppo_fast_period = 38
    ppo_slow_period = 205
    matype = 3
    TradingCost = 0.0005
    ppo_upper = 1.4
    ppo_lower = -0.8
    ppo_mid = 0
    long_action = 1
    short_action = -1
    max_holding = True
    max_holding_val = 93
    stop_loss = True
    stop_loss_val = 0.104
    mode = 'momentum'
    exit_mode = 'breakout'</t>
  </si>
  <si>
    <t>ULTOSC</t>
  </si>
  <si>
    <t>TradingCost = 0.0005
timeperiod1 = 14
timeperiod2 = 28
timeperiod3 = 36
long_action = 1
short_action = -1
ultosc_upper = 60
ultosc_mid = 50
ultosc_lower = 40
max_holding = True
max_holding_val = 100
stop_loss = True
stop_loss_val = 0.03
mode = 'momentum'
exit_mode = 'breakout'</t>
  </si>
  <si>
    <t>BBAND</t>
  </si>
  <si>
    <t>bband_period = 16
nbdevup = 1.41
nbdevdn = 2.15
matype = 3
TradingCost = 0.0005
long_action = 1
short_action = -1
max_holding = True
max_holding_val = 61
stop_loss = True
stop_loss_val = 0.12
mode = 'momentum'
exit_mode = 'breakout'</t>
  </si>
  <si>
    <t>KAMA</t>
  </si>
  <si>
    <t>WMA</t>
  </si>
  <si>
    <t>short_window = 10
long_window = 57
TradingCost = 0.0005
long_action = 1
short_action = -1
max_holding = True
max_holding_val = 100
stop_loss = True
stop_loss_val = 0.213</t>
  </si>
  <si>
    <t>Fail but keep</t>
  </si>
  <si>
    <t>roc_period = 6
TradingCost = 0.0005
roc_upper = 4
roc_lower = -3
roc_mid = 0 
long_action = 1
short_action = -1
max_holding = True
max_holding_val = 20
stop_loss = True
stop_loss_val = 0.047
mode = 'momentum'
exit_mode = 'midpoint'</t>
  </si>
  <si>
    <t>We changed the mode to momentum to keep consistent with other indicators, test set back test sharpe not great but out of sample is decent</t>
  </si>
  <si>
    <t>Trix out of sample was bad, but we've decided to monitor further if strategy rebounds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</si>
</sst>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9" fontId="0" fillId="0" borderId="0" xfId="0" applyNumberFormat="1"/>
    <xf numFmtId="1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 wrapText="1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10" fontId="0" fillId="3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9" fontId="0" fillId="3" borderId="1" xfId="0" applyNumberFormat="1" applyFill="1" applyBorder="1" applyAlignment="1">
      <alignment horizontal="center"/>
    </xf>
    <xf numFmtId="4" fontId="0" fillId="3" borderId="1" xfId="0" applyNumberFormat="1" applyFill="1" applyBorder="1" applyAlignment="1">
      <alignment horizontal="center"/>
    </xf>
    <xf numFmtId="9" fontId="0" fillId="3" borderId="1" xfId="0" applyNumberFormat="1" applyFill="1" applyBorder="1"/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640620</xdr:colOff>
      <xdr:row>34</xdr:row>
      <xdr:rowOff>11239</xdr:rowOff>
    </xdr:from>
    <xdr:to>
      <xdr:col>34</xdr:col>
      <xdr:colOff>253551</xdr:colOff>
      <xdr:row>48</xdr:row>
      <xdr:rowOff>30798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6309921-4977-EE53-76C1-DE3C73A8D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33186" y="10564602"/>
          <a:ext cx="7772400" cy="28517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89C63-F627-6E45-ABBC-FE6ACACA80EE}">
  <dimension ref="B2:AI61"/>
  <sheetViews>
    <sheetView tabSelected="1" topLeftCell="O1" zoomScale="113" zoomScaleNormal="150" workbookViewId="0">
      <selection activeCell="AB8" sqref="AB8"/>
    </sheetView>
  </sheetViews>
  <sheetFormatPr baseColWidth="10" defaultRowHeight="16" x14ac:dyDescent="0.2"/>
  <cols>
    <col min="4" max="5" width="17" customWidth="1"/>
    <col min="6" max="6" width="1.83203125" customWidth="1"/>
    <col min="7" max="8" width="17" customWidth="1"/>
    <col min="9" max="9" width="1.83203125" customWidth="1"/>
    <col min="10" max="11" width="17" customWidth="1"/>
    <col min="12" max="12" width="1.83203125" customWidth="1"/>
    <col min="13" max="14" width="17" customWidth="1"/>
    <col min="15" max="15" width="1.83203125" customWidth="1"/>
    <col min="16" max="17" width="17" customWidth="1"/>
    <col min="18" max="18" width="1.83203125" customWidth="1"/>
    <col min="19" max="20" width="17" customWidth="1"/>
    <col min="21" max="21" width="1.83203125" customWidth="1"/>
    <col min="22" max="23" width="17" customWidth="1"/>
    <col min="24" max="24" width="1.83203125" customWidth="1"/>
    <col min="25" max="26" width="17" customWidth="1"/>
    <col min="27" max="27" width="1.83203125" customWidth="1"/>
    <col min="28" max="29" width="17" customWidth="1"/>
    <col min="30" max="30" width="1.83203125" customWidth="1"/>
    <col min="31" max="32" width="17" customWidth="1"/>
    <col min="33" max="33" width="1.83203125" customWidth="1"/>
    <col min="34" max="35" width="17" customWidth="1"/>
  </cols>
  <sheetData>
    <row r="2" spans="2:35" x14ac:dyDescent="0.2">
      <c r="B2" s="14"/>
      <c r="C2" s="14"/>
      <c r="D2" s="15" t="s">
        <v>2</v>
      </c>
      <c r="E2" s="15"/>
      <c r="F2" s="14"/>
      <c r="G2" s="15" t="s">
        <v>24</v>
      </c>
      <c r="H2" s="15"/>
      <c r="I2" s="14"/>
      <c r="J2" s="15" t="s">
        <v>30</v>
      </c>
      <c r="K2" s="15"/>
      <c r="L2" s="14"/>
      <c r="M2" s="15" t="s">
        <v>32</v>
      </c>
      <c r="N2" s="15"/>
      <c r="O2" s="14"/>
      <c r="P2" s="15" t="s">
        <v>33</v>
      </c>
      <c r="Q2" s="15"/>
      <c r="R2" s="14"/>
      <c r="S2" s="15" t="s">
        <v>35</v>
      </c>
      <c r="T2" s="15"/>
      <c r="U2" s="14"/>
      <c r="V2" s="15" t="s">
        <v>38</v>
      </c>
      <c r="W2" s="15"/>
      <c r="X2" s="14"/>
      <c r="Y2" s="15" t="s">
        <v>40</v>
      </c>
      <c r="Z2" s="15"/>
      <c r="AA2" s="14"/>
      <c r="AB2" s="15" t="s">
        <v>42</v>
      </c>
      <c r="AC2" s="15"/>
      <c r="AE2" s="10" t="s">
        <v>44</v>
      </c>
      <c r="AF2" s="10"/>
      <c r="AH2" s="10" t="s">
        <v>45</v>
      </c>
      <c r="AI2" s="10"/>
    </row>
    <row r="3" spans="2:35" x14ac:dyDescent="0.2"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</row>
    <row r="4" spans="2:35" s="2" customFormat="1" ht="250" customHeight="1" x14ac:dyDescent="0.2">
      <c r="B4" s="16" t="s">
        <v>3</v>
      </c>
      <c r="C4" s="16"/>
      <c r="D4" s="17" t="s">
        <v>4</v>
      </c>
      <c r="E4" s="17"/>
      <c r="F4" s="16"/>
      <c r="G4" s="17" t="s">
        <v>48</v>
      </c>
      <c r="H4" s="17"/>
      <c r="I4" s="16"/>
      <c r="J4" s="17" t="s">
        <v>29</v>
      </c>
      <c r="K4" s="17"/>
      <c r="L4" s="16"/>
      <c r="M4" s="17" t="s">
        <v>31</v>
      </c>
      <c r="N4" s="17"/>
      <c r="O4" s="16"/>
      <c r="P4" s="17" t="s">
        <v>34</v>
      </c>
      <c r="Q4" s="17"/>
      <c r="R4" s="16"/>
      <c r="S4" s="17" t="s">
        <v>36</v>
      </c>
      <c r="T4" s="17"/>
      <c r="U4" s="16"/>
      <c r="V4" s="17" t="s">
        <v>39</v>
      </c>
      <c r="W4" s="17"/>
      <c r="X4" s="16"/>
      <c r="Y4" s="17" t="s">
        <v>41</v>
      </c>
      <c r="Z4" s="17"/>
      <c r="AA4" s="16"/>
      <c r="AB4" s="17" t="s">
        <v>43</v>
      </c>
      <c r="AC4" s="17"/>
      <c r="AE4" s="9" t="s">
        <v>46</v>
      </c>
      <c r="AF4" s="9"/>
      <c r="AH4" s="9" t="s">
        <v>43</v>
      </c>
      <c r="AI4" s="9"/>
    </row>
    <row r="5" spans="2:35" x14ac:dyDescent="0.2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</row>
    <row r="6" spans="2:35" x14ac:dyDescent="0.2">
      <c r="B6" s="14" t="s">
        <v>0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</row>
    <row r="7" spans="2:35" x14ac:dyDescent="0.2">
      <c r="B7" s="14"/>
      <c r="C7" s="14"/>
      <c r="D7" s="18" t="s">
        <v>1</v>
      </c>
      <c r="E7" s="18" t="s">
        <v>18</v>
      </c>
      <c r="F7" s="14"/>
      <c r="G7" s="18" t="s">
        <v>1</v>
      </c>
      <c r="H7" s="18" t="s">
        <v>18</v>
      </c>
      <c r="I7" s="14"/>
      <c r="J7" s="18" t="s">
        <v>1</v>
      </c>
      <c r="K7" s="18" t="s">
        <v>18</v>
      </c>
      <c r="L7" s="14"/>
      <c r="M7" s="18" t="s">
        <v>1</v>
      </c>
      <c r="N7" s="18" t="s">
        <v>18</v>
      </c>
      <c r="O7" s="14"/>
      <c r="P7" s="18" t="s">
        <v>1</v>
      </c>
      <c r="Q7" s="18" t="s">
        <v>18</v>
      </c>
      <c r="R7" s="14"/>
      <c r="S7" s="18" t="s">
        <v>1</v>
      </c>
      <c r="T7" s="18" t="s">
        <v>18</v>
      </c>
      <c r="U7" s="14"/>
      <c r="V7" s="18" t="s">
        <v>1</v>
      </c>
      <c r="W7" s="18" t="s">
        <v>18</v>
      </c>
      <c r="X7" s="14"/>
      <c r="Y7" s="18" t="s">
        <v>1</v>
      </c>
      <c r="Z7" s="18" t="s">
        <v>18</v>
      </c>
      <c r="AA7" s="14"/>
      <c r="AB7" s="18" t="s">
        <v>1</v>
      </c>
      <c r="AC7" s="18" t="s">
        <v>18</v>
      </c>
      <c r="AE7" s="1" t="s">
        <v>1</v>
      </c>
      <c r="AF7" s="1" t="s">
        <v>18</v>
      </c>
      <c r="AH7" s="1" t="s">
        <v>1</v>
      </c>
      <c r="AI7" s="1" t="s">
        <v>18</v>
      </c>
    </row>
    <row r="8" spans="2:35" x14ac:dyDescent="0.2">
      <c r="B8" s="14" t="s">
        <v>21</v>
      </c>
      <c r="C8" s="14"/>
      <c r="D8" s="18" t="s">
        <v>22</v>
      </c>
      <c r="E8" s="18" t="s">
        <v>23</v>
      </c>
      <c r="F8" s="14"/>
      <c r="G8" s="18" t="s">
        <v>22</v>
      </c>
      <c r="H8" s="18" t="s">
        <v>23</v>
      </c>
      <c r="I8" s="14"/>
      <c r="J8" s="18" t="s">
        <v>22</v>
      </c>
      <c r="K8" s="18" t="s">
        <v>23</v>
      </c>
      <c r="L8" s="14"/>
      <c r="M8" s="18" t="s">
        <v>22</v>
      </c>
      <c r="N8" s="18" t="s">
        <v>23</v>
      </c>
      <c r="O8" s="14"/>
      <c r="P8" s="18" t="s">
        <v>22</v>
      </c>
      <c r="Q8" s="18" t="s">
        <v>23</v>
      </c>
      <c r="R8" s="14"/>
      <c r="S8" s="18" t="s">
        <v>22</v>
      </c>
      <c r="T8" s="18" t="s">
        <v>23</v>
      </c>
      <c r="U8" s="14"/>
      <c r="V8" s="18" t="s">
        <v>22</v>
      </c>
      <c r="W8" s="18" t="s">
        <v>23</v>
      </c>
      <c r="X8" s="14"/>
      <c r="Y8" s="18" t="s">
        <v>22</v>
      </c>
      <c r="Z8" s="18" t="s">
        <v>23</v>
      </c>
      <c r="AA8" s="14"/>
      <c r="AB8" s="18" t="s">
        <v>22</v>
      </c>
      <c r="AC8" s="18" t="s">
        <v>23</v>
      </c>
      <c r="AE8" s="1" t="s">
        <v>22</v>
      </c>
      <c r="AF8" s="1" t="s">
        <v>23</v>
      </c>
      <c r="AH8" s="1" t="s">
        <v>22</v>
      </c>
      <c r="AI8" s="1" t="s">
        <v>23</v>
      </c>
    </row>
    <row r="9" spans="2:35" x14ac:dyDescent="0.2">
      <c r="B9" s="14" t="s">
        <v>10</v>
      </c>
      <c r="C9" s="14"/>
      <c r="D9" s="19">
        <v>5.0000000000000001E-4</v>
      </c>
      <c r="E9" s="19">
        <v>5.0000000000000001E-4</v>
      </c>
      <c r="F9" s="14"/>
      <c r="G9" s="19">
        <v>5.0000000000000001E-4</v>
      </c>
      <c r="H9" s="19">
        <v>5.0000000000000001E-4</v>
      </c>
      <c r="I9" s="14"/>
      <c r="J9" s="19">
        <v>5.0000000000000001E-4</v>
      </c>
      <c r="K9" s="19">
        <v>5.0000000000000001E-4</v>
      </c>
      <c r="L9" s="14"/>
      <c r="M9" s="19">
        <v>5.0000000000000001E-4</v>
      </c>
      <c r="N9" s="19">
        <v>5.0000000000000001E-4</v>
      </c>
      <c r="O9" s="14"/>
      <c r="P9" s="19">
        <v>5.0000000000000001E-4</v>
      </c>
      <c r="Q9" s="19">
        <v>5.0000000000000001E-4</v>
      </c>
      <c r="R9" s="14"/>
      <c r="S9" s="19">
        <v>5.0000000000000001E-4</v>
      </c>
      <c r="T9" s="19">
        <v>5.0000000000000001E-4</v>
      </c>
      <c r="U9" s="14"/>
      <c r="V9" s="19">
        <v>5.0000000000000001E-4</v>
      </c>
      <c r="W9" s="19">
        <v>5.0000000000000001E-4</v>
      </c>
      <c r="X9" s="14"/>
      <c r="Y9" s="19">
        <v>5.0000000000000001E-4</v>
      </c>
      <c r="Z9" s="19">
        <v>5.0000000000000001E-4</v>
      </c>
      <c r="AA9" s="14"/>
      <c r="AB9" s="19">
        <v>5.0000000000000001E-4</v>
      </c>
      <c r="AC9" s="19">
        <v>5.0000000000000001E-4</v>
      </c>
      <c r="AE9" s="4">
        <v>5.0000000000000001E-4</v>
      </c>
      <c r="AF9" s="4">
        <v>5.0000000000000001E-4</v>
      </c>
      <c r="AH9" s="4">
        <v>5.0000000000000001E-4</v>
      </c>
      <c r="AI9" s="4">
        <v>5.0000000000000001E-4</v>
      </c>
    </row>
    <row r="10" spans="2:35" x14ac:dyDescent="0.2">
      <c r="B10" s="14"/>
      <c r="C10" s="14"/>
      <c r="D10" s="18"/>
      <c r="E10" s="18"/>
      <c r="F10" s="14"/>
      <c r="G10" s="18"/>
      <c r="H10" s="18"/>
      <c r="I10" s="14"/>
      <c r="J10" s="18"/>
      <c r="K10" s="18"/>
      <c r="L10" s="14"/>
      <c r="M10" s="18"/>
      <c r="N10" s="18"/>
      <c r="O10" s="14"/>
      <c r="P10" s="18"/>
      <c r="Q10" s="18"/>
      <c r="R10" s="14"/>
      <c r="S10" s="18"/>
      <c r="T10" s="18"/>
      <c r="U10" s="14"/>
      <c r="V10" s="18"/>
      <c r="W10" s="18"/>
      <c r="X10" s="14"/>
      <c r="Y10" s="18"/>
      <c r="Z10" s="18"/>
      <c r="AA10" s="14"/>
      <c r="AB10" s="18"/>
      <c r="AC10" s="18"/>
      <c r="AE10" s="1"/>
      <c r="AF10" s="1"/>
      <c r="AH10" s="1"/>
      <c r="AI10" s="1"/>
    </row>
    <row r="11" spans="2:35" x14ac:dyDescent="0.2">
      <c r="B11" s="14" t="s">
        <v>5</v>
      </c>
      <c r="C11" s="14"/>
      <c r="D11" s="18">
        <v>610</v>
      </c>
      <c r="E11" s="18">
        <v>92</v>
      </c>
      <c r="F11" s="14"/>
      <c r="G11" s="18">
        <v>1495</v>
      </c>
      <c r="H11" s="18">
        <v>174</v>
      </c>
      <c r="I11" s="14"/>
      <c r="J11" s="18">
        <v>1182</v>
      </c>
      <c r="K11" s="18">
        <v>253</v>
      </c>
      <c r="L11" s="14"/>
      <c r="M11" s="18">
        <v>3555</v>
      </c>
      <c r="N11" s="18">
        <v>468</v>
      </c>
      <c r="O11" s="14"/>
      <c r="P11" s="18">
        <v>868</v>
      </c>
      <c r="Q11" s="18">
        <v>141</v>
      </c>
      <c r="R11" s="14"/>
      <c r="S11" s="18">
        <v>3791</v>
      </c>
      <c r="T11" s="18">
        <v>514</v>
      </c>
      <c r="U11" s="14"/>
      <c r="V11" s="18">
        <v>713</v>
      </c>
      <c r="W11" s="18">
        <v>80</v>
      </c>
      <c r="X11" s="14"/>
      <c r="Y11" s="18">
        <v>657</v>
      </c>
      <c r="Z11" s="18">
        <v>101</v>
      </c>
      <c r="AA11" s="14"/>
      <c r="AB11" s="18">
        <v>2501</v>
      </c>
      <c r="AC11" s="18">
        <v>306</v>
      </c>
      <c r="AE11" s="1">
        <v>2501</v>
      </c>
      <c r="AF11" s="1">
        <v>265</v>
      </c>
      <c r="AH11" s="1">
        <v>1445</v>
      </c>
      <c r="AI11" s="1">
        <v>265</v>
      </c>
    </row>
    <row r="12" spans="2:35" x14ac:dyDescent="0.2">
      <c r="B12" s="14" t="s">
        <v>6</v>
      </c>
      <c r="C12" s="14"/>
      <c r="D12" s="18">
        <v>39541</v>
      </c>
      <c r="E12" s="18">
        <v>5317</v>
      </c>
      <c r="F12" s="14"/>
      <c r="G12" s="18">
        <v>39565</v>
      </c>
      <c r="H12" s="18">
        <v>5341</v>
      </c>
      <c r="I12" s="14"/>
      <c r="J12" s="18">
        <v>39531</v>
      </c>
      <c r="K12" s="18">
        <v>5307</v>
      </c>
      <c r="L12" s="14"/>
      <c r="M12" s="18">
        <v>39557</v>
      </c>
      <c r="N12" s="18">
        <v>5333</v>
      </c>
      <c r="O12" s="14"/>
      <c r="P12" s="18">
        <v>39557</v>
      </c>
      <c r="Q12" s="18">
        <v>5323</v>
      </c>
      <c r="R12" s="14"/>
      <c r="S12" s="18">
        <v>39565</v>
      </c>
      <c r="T12" s="18">
        <v>5341</v>
      </c>
      <c r="U12" s="14"/>
      <c r="V12" s="18">
        <v>39366</v>
      </c>
      <c r="W12" s="18">
        <v>5142</v>
      </c>
      <c r="X12" s="14"/>
      <c r="Y12" s="18">
        <v>39535</v>
      </c>
      <c r="Z12" s="18">
        <v>5302</v>
      </c>
      <c r="AA12" s="14"/>
      <c r="AB12" s="18">
        <v>39555</v>
      </c>
      <c r="AC12" s="18">
        <v>5331</v>
      </c>
      <c r="AE12" s="1">
        <v>39555</v>
      </c>
      <c r="AF12" s="1">
        <v>3523</v>
      </c>
      <c r="AH12" s="1">
        <v>39514</v>
      </c>
      <c r="AI12" s="1">
        <v>3523</v>
      </c>
    </row>
    <row r="13" spans="2:35" x14ac:dyDescent="0.2">
      <c r="B13" s="14" t="s">
        <v>7</v>
      </c>
      <c r="C13" s="14"/>
      <c r="D13" s="20">
        <f>+D11/D12</f>
        <v>1.5427025113173667E-2</v>
      </c>
      <c r="E13" s="20">
        <f>+E11/E12</f>
        <v>1.7302990408124882E-2</v>
      </c>
      <c r="F13" s="14"/>
      <c r="G13" s="20">
        <f>+G11/G12</f>
        <v>3.7785921900669782E-2</v>
      </c>
      <c r="H13" s="20">
        <f>+H11/H12</f>
        <v>3.2578168882231792E-2</v>
      </c>
      <c r="I13" s="14"/>
      <c r="J13" s="20">
        <f>+J11/J12</f>
        <v>2.990058435152159E-2</v>
      </c>
      <c r="K13" s="20">
        <f>+K11/K12</f>
        <v>4.7672884869040887E-2</v>
      </c>
      <c r="L13" s="14"/>
      <c r="M13" s="20">
        <f>+M11/M12</f>
        <v>8.9870313724498829E-2</v>
      </c>
      <c r="N13" s="20">
        <f>+N11/N12</f>
        <v>8.775548471779486E-2</v>
      </c>
      <c r="O13" s="14"/>
      <c r="P13" s="20">
        <f>+P11/P12</f>
        <v>2.1943018934701821E-2</v>
      </c>
      <c r="Q13" s="20">
        <f>+Q11/Q12</f>
        <v>2.6488822092804808E-2</v>
      </c>
      <c r="R13" s="14"/>
      <c r="S13" s="20">
        <f>+S11/S12</f>
        <v>9.5817009983571344E-2</v>
      </c>
      <c r="T13" s="20">
        <f>+T11/T12</f>
        <v>9.6236659801535299E-2</v>
      </c>
      <c r="U13" s="14"/>
      <c r="V13" s="20">
        <f>+V11/V12</f>
        <v>1.8112076411116191E-2</v>
      </c>
      <c r="W13" s="20">
        <f>+W11/W12</f>
        <v>1.5558148580318941E-2</v>
      </c>
      <c r="X13" s="14"/>
      <c r="Y13" s="20">
        <f>+Y11/Y12</f>
        <v>1.6618186417098772E-2</v>
      </c>
      <c r="Z13" s="20">
        <f>+Z11/Z12</f>
        <v>1.904941531497548E-2</v>
      </c>
      <c r="AA13" s="14"/>
      <c r="AB13" s="20">
        <f>+AB11/AB12</f>
        <v>6.3228416129440024E-2</v>
      </c>
      <c r="AC13" s="20">
        <f>+AC11/AC12</f>
        <v>5.7400112549240295E-2</v>
      </c>
      <c r="AE13" s="5">
        <f>+AE11/AE12</f>
        <v>6.3228416129440024E-2</v>
      </c>
      <c r="AF13" s="5">
        <f>+AF11/AF12</f>
        <v>7.5219982969060462E-2</v>
      </c>
      <c r="AH13" s="5">
        <f>+AH11/AH12</f>
        <v>3.656931720402895E-2</v>
      </c>
      <c r="AI13" s="5">
        <f>+AI11/AI12</f>
        <v>7.5219982969060462E-2</v>
      </c>
    </row>
    <row r="14" spans="2:35" x14ac:dyDescent="0.2">
      <c r="B14" s="14"/>
      <c r="C14" s="14"/>
      <c r="D14" s="18"/>
      <c r="E14" s="18"/>
      <c r="F14" s="14"/>
      <c r="G14" s="18"/>
      <c r="H14" s="18"/>
      <c r="I14" s="14"/>
      <c r="J14" s="18"/>
      <c r="K14" s="18"/>
      <c r="L14" s="14"/>
      <c r="M14" s="18"/>
      <c r="N14" s="18"/>
      <c r="O14" s="14"/>
      <c r="P14" s="18"/>
      <c r="Q14" s="18"/>
      <c r="R14" s="14"/>
      <c r="S14" s="18"/>
      <c r="T14" s="18"/>
      <c r="U14" s="14"/>
      <c r="V14" s="18"/>
      <c r="W14" s="18"/>
      <c r="X14" s="14"/>
      <c r="Y14" s="18"/>
      <c r="Z14" s="18"/>
      <c r="AA14" s="14"/>
      <c r="AB14" s="18"/>
      <c r="AC14" s="18"/>
      <c r="AE14" s="1"/>
      <c r="AF14" s="1"/>
      <c r="AH14" s="1"/>
      <c r="AI14" s="1"/>
    </row>
    <row r="15" spans="2:35" x14ac:dyDescent="0.2">
      <c r="B15" s="14" t="s">
        <v>8</v>
      </c>
      <c r="C15" s="14"/>
      <c r="D15" s="18"/>
      <c r="E15" s="18"/>
      <c r="F15" s="14"/>
      <c r="G15" s="18"/>
      <c r="H15" s="18"/>
      <c r="I15" s="14"/>
      <c r="J15" s="18"/>
      <c r="K15" s="18"/>
      <c r="L15" s="14"/>
      <c r="M15" s="18"/>
      <c r="N15" s="18"/>
      <c r="O15" s="14"/>
      <c r="P15" s="18"/>
      <c r="Q15" s="18"/>
      <c r="R15" s="14"/>
      <c r="S15" s="18"/>
      <c r="T15" s="18"/>
      <c r="U15" s="14"/>
      <c r="V15" s="18"/>
      <c r="W15" s="18"/>
      <c r="X15" s="14"/>
      <c r="Y15" s="18"/>
      <c r="Z15" s="18"/>
      <c r="AA15" s="14"/>
      <c r="AB15" s="18"/>
      <c r="AC15" s="18"/>
      <c r="AE15" s="1"/>
      <c r="AF15" s="1"/>
      <c r="AH15" s="1"/>
      <c r="AI15" s="1"/>
    </row>
    <row r="16" spans="2:35" x14ac:dyDescent="0.2">
      <c r="B16" s="14" t="s">
        <v>9</v>
      </c>
      <c r="C16" s="14"/>
      <c r="D16" s="21">
        <f>+D11/D12*365*24</f>
        <v>135.14073999140132</v>
      </c>
      <c r="E16" s="21">
        <f>+E11/E12*365*24</f>
        <v>151.57419597517398</v>
      </c>
      <c r="F16" s="14"/>
      <c r="G16" s="21">
        <f>+G11/G12*365*24</f>
        <v>331.00467584986728</v>
      </c>
      <c r="H16" s="21">
        <f>+H11/H12*365*24</f>
        <v>285.38475940835053</v>
      </c>
      <c r="I16" s="14"/>
      <c r="J16" s="21">
        <f>+J11/J12*365*24</f>
        <v>261.92911891932914</v>
      </c>
      <c r="K16" s="21">
        <f>+K11/K12*365*24</f>
        <v>417.61447145279817</v>
      </c>
      <c r="L16" s="14"/>
      <c r="M16" s="21">
        <f>+M11/M12*365*24</f>
        <v>787.26394822660973</v>
      </c>
      <c r="N16" s="21">
        <f>+N11/N12*365*24</f>
        <v>768.73804612788308</v>
      </c>
      <c r="O16" s="14"/>
      <c r="P16" s="21">
        <f>+P11/P12*365*24</f>
        <v>192.22084586798792</v>
      </c>
      <c r="Q16" s="21">
        <f>+Q11/Q12*365*24</f>
        <v>232.04208153297014</v>
      </c>
      <c r="R16" s="14"/>
      <c r="S16" s="21">
        <f>+S11/S12*365*24</f>
        <v>839.35700745608506</v>
      </c>
      <c r="T16" s="21">
        <f>+T11/T12*365*24</f>
        <v>843.03313986144917</v>
      </c>
      <c r="U16" s="14"/>
      <c r="V16" s="21">
        <f>+V11/V12*365*24</f>
        <v>158.66178936137783</v>
      </c>
      <c r="W16" s="21">
        <f>+W11/W12*365*24</f>
        <v>136.28938156359393</v>
      </c>
      <c r="X16" s="14"/>
      <c r="Y16" s="21">
        <f>+Y11/Y12*365*24</f>
        <v>145.57531301378526</v>
      </c>
      <c r="Z16" s="21">
        <f>+Z11/Z12*365*24</f>
        <v>166.87287815918521</v>
      </c>
      <c r="AA16" s="14"/>
      <c r="AB16" s="21">
        <f>+AB11/AB12*365*24</f>
        <v>553.88092529389462</v>
      </c>
      <c r="AC16" s="21">
        <f>+AC11/AC12*365*24</f>
        <v>502.82498593134505</v>
      </c>
      <c r="AE16" s="6">
        <f>+AE11/AE12*365*24</f>
        <v>553.88092529389462</v>
      </c>
      <c r="AF16" s="6">
        <f>+AF11/AF12*365*24</f>
        <v>658.92705080896962</v>
      </c>
      <c r="AH16" s="6">
        <f>+AH11/AH12*365*24</f>
        <v>320.34721870729362</v>
      </c>
      <c r="AI16" s="6">
        <f>+AI11/AI12*365*24</f>
        <v>658.92705080896962</v>
      </c>
    </row>
    <row r="17" spans="2:35" x14ac:dyDescent="0.2">
      <c r="B17" s="14" t="s">
        <v>10</v>
      </c>
      <c r="C17" s="14"/>
      <c r="D17" s="20">
        <f>+D9*D16</f>
        <v>6.7570369995700666E-2</v>
      </c>
      <c r="E17" s="20">
        <f>+E9*E16</f>
        <v>7.5787097987586996E-2</v>
      </c>
      <c r="F17" s="14"/>
      <c r="G17" s="20">
        <f>+G9*G16</f>
        <v>0.16550233792493366</v>
      </c>
      <c r="H17" s="20">
        <f>+H9*H16</f>
        <v>0.14269237970417528</v>
      </c>
      <c r="I17" s="14"/>
      <c r="J17" s="20">
        <f>+J9*J16</f>
        <v>0.13096455945966456</v>
      </c>
      <c r="K17" s="20">
        <f>+K9*K16</f>
        <v>0.20880723572639909</v>
      </c>
      <c r="L17" s="14"/>
      <c r="M17" s="20">
        <f>+M9*M16</f>
        <v>0.39363197411330486</v>
      </c>
      <c r="N17" s="20">
        <f>+N9*N16</f>
        <v>0.38436902306394155</v>
      </c>
      <c r="O17" s="14"/>
      <c r="P17" s="20">
        <f>+P9*P16</f>
        <v>9.6110422933993966E-2</v>
      </c>
      <c r="Q17" s="20">
        <f>+Q9*Q16</f>
        <v>0.11602104076648508</v>
      </c>
      <c r="R17" s="14"/>
      <c r="S17" s="20">
        <f>+S9*S16</f>
        <v>0.41967850372804255</v>
      </c>
      <c r="T17" s="20">
        <f>+T9*T16</f>
        <v>0.42151656993072462</v>
      </c>
      <c r="U17" s="14"/>
      <c r="V17" s="20">
        <f>+V9*V16</f>
        <v>7.9330894680688921E-2</v>
      </c>
      <c r="W17" s="20">
        <f>+W9*W16</f>
        <v>6.8144690781796968E-2</v>
      </c>
      <c r="X17" s="14"/>
      <c r="Y17" s="20">
        <f>+Y9*Y16</f>
        <v>7.2787656506892631E-2</v>
      </c>
      <c r="Z17" s="20">
        <f>+Z9*Z16</f>
        <v>8.3436439079592611E-2</v>
      </c>
      <c r="AA17" s="14"/>
      <c r="AB17" s="20">
        <f>+AB9*AB16</f>
        <v>0.27694046264694733</v>
      </c>
      <c r="AC17" s="20">
        <f>+AC9*AC16</f>
        <v>0.25141249296567253</v>
      </c>
      <c r="AE17" s="5">
        <f>+AE9*AE16</f>
        <v>0.27694046264694733</v>
      </c>
      <c r="AF17" s="5">
        <f>+AF9*AF16</f>
        <v>0.32946352540448481</v>
      </c>
      <c r="AH17" s="5">
        <f>+AH9*AH16</f>
        <v>0.1601736093536468</v>
      </c>
      <c r="AI17" s="5">
        <f>+AI9*AI16</f>
        <v>0.32946352540448481</v>
      </c>
    </row>
    <row r="18" spans="2:35" x14ac:dyDescent="0.2">
      <c r="B18" s="14"/>
      <c r="C18" s="14"/>
      <c r="D18" s="18"/>
      <c r="E18" s="18"/>
      <c r="F18" s="14"/>
      <c r="G18" s="18"/>
      <c r="H18" s="18"/>
      <c r="I18" s="14"/>
      <c r="J18" s="18"/>
      <c r="K18" s="18"/>
      <c r="L18" s="14"/>
      <c r="M18" s="18"/>
      <c r="N18" s="18"/>
      <c r="O18" s="14"/>
      <c r="P18" s="18"/>
      <c r="Q18" s="18"/>
      <c r="R18" s="14"/>
      <c r="S18" s="18"/>
      <c r="T18" s="18"/>
      <c r="U18" s="14"/>
      <c r="V18" s="18"/>
      <c r="W18" s="18"/>
      <c r="X18" s="14"/>
      <c r="Y18" s="18"/>
      <c r="Z18" s="18"/>
      <c r="AA18" s="14"/>
      <c r="AB18" s="18"/>
      <c r="AC18" s="18"/>
      <c r="AE18" s="1"/>
      <c r="AF18" s="1"/>
      <c r="AH18" s="1"/>
      <c r="AI18" s="1"/>
    </row>
    <row r="19" spans="2:35" x14ac:dyDescent="0.2">
      <c r="B19" s="14" t="s">
        <v>11</v>
      </c>
      <c r="C19" s="14"/>
      <c r="D19" s="22">
        <v>0.56720000000000004</v>
      </c>
      <c r="E19" s="22">
        <v>0.58699999999999997</v>
      </c>
      <c r="F19" s="14"/>
      <c r="G19" s="22">
        <v>0.41710000000000003</v>
      </c>
      <c r="H19" s="22">
        <v>0.40229999999999999</v>
      </c>
      <c r="I19" s="14"/>
      <c r="J19" s="22">
        <v>0.4975</v>
      </c>
      <c r="K19" s="22">
        <v>0.45300000000000001</v>
      </c>
      <c r="L19" s="14"/>
      <c r="M19" s="22">
        <v>0.42459999999999998</v>
      </c>
      <c r="N19" s="22">
        <v>0.45300000000000001</v>
      </c>
      <c r="O19" s="14"/>
      <c r="P19" s="22">
        <v>0.51380000000000003</v>
      </c>
      <c r="Q19" s="22">
        <v>0.45069999999999999</v>
      </c>
      <c r="R19" s="14"/>
      <c r="S19" s="22">
        <v>0.47839999999999999</v>
      </c>
      <c r="T19" s="22">
        <v>0.43530000000000002</v>
      </c>
      <c r="U19" s="14"/>
      <c r="V19" s="22">
        <v>0.45660000000000001</v>
      </c>
      <c r="W19" s="22">
        <v>0.45</v>
      </c>
      <c r="X19" s="14"/>
      <c r="Y19" s="22">
        <v>0.4894</v>
      </c>
      <c r="Z19" s="22">
        <v>0.5333</v>
      </c>
      <c r="AA19" s="14"/>
      <c r="AB19" s="22">
        <v>0.38769999999999999</v>
      </c>
      <c r="AC19" s="22">
        <v>0.3856</v>
      </c>
      <c r="AE19" s="7">
        <v>0.38769999999999999</v>
      </c>
      <c r="AF19" s="7">
        <v>0.36840000000000001</v>
      </c>
      <c r="AH19" s="7">
        <v>0.33329999999999999</v>
      </c>
      <c r="AI19" s="7">
        <v>0.36840000000000001</v>
      </c>
    </row>
    <row r="20" spans="2:35" x14ac:dyDescent="0.2">
      <c r="B20" s="14" t="s">
        <v>12</v>
      </c>
      <c r="C20" s="14"/>
      <c r="D20" s="22">
        <v>1.7121999999999999</v>
      </c>
      <c r="E20" s="22">
        <v>2.1856</v>
      </c>
      <c r="F20" s="14"/>
      <c r="G20" s="22">
        <v>1.5961000000000001</v>
      </c>
      <c r="H20" s="22">
        <v>2.0339</v>
      </c>
      <c r="I20" s="14"/>
      <c r="J20" s="22">
        <v>1.3643000000000001</v>
      </c>
      <c r="K20" s="22">
        <v>1.4328000000000001</v>
      </c>
      <c r="L20" s="14"/>
      <c r="M20" s="22">
        <v>1.9488000000000001</v>
      </c>
      <c r="N20" s="22">
        <v>2.0697999999999999</v>
      </c>
      <c r="O20" s="14"/>
      <c r="P20" s="22">
        <v>1.6994</v>
      </c>
      <c r="Q20" s="22">
        <v>1.6177999999999999</v>
      </c>
      <c r="R20" s="14"/>
      <c r="S20" s="22">
        <v>1.2336</v>
      </c>
      <c r="T20" s="22">
        <v>0.98809999999999998</v>
      </c>
      <c r="U20" s="14"/>
      <c r="V20" s="22">
        <v>1.2907</v>
      </c>
      <c r="W20" s="22">
        <v>1.6968000000000001</v>
      </c>
      <c r="X20" s="14"/>
      <c r="Y20" s="22">
        <v>1.6616</v>
      </c>
      <c r="Z20" s="22">
        <v>1.6678999999999999</v>
      </c>
      <c r="AA20" s="14"/>
      <c r="AB20" s="22">
        <v>1.3694999999999999</v>
      </c>
      <c r="AC20" s="22">
        <v>1.1879</v>
      </c>
      <c r="AE20" s="7">
        <v>1.3694999999999999</v>
      </c>
      <c r="AF20" s="7">
        <v>1.0531999999999999</v>
      </c>
      <c r="AH20" s="7">
        <v>1.1020000000000001</v>
      </c>
      <c r="AI20" s="7">
        <v>1.0531999999999999</v>
      </c>
    </row>
    <row r="21" spans="2:35" x14ac:dyDescent="0.2">
      <c r="B21" s="14"/>
      <c r="C21" s="14"/>
      <c r="D21" s="18"/>
      <c r="E21" s="18"/>
      <c r="F21" s="14"/>
      <c r="G21" s="18"/>
      <c r="H21" s="18"/>
      <c r="I21" s="14"/>
      <c r="J21" s="18"/>
      <c r="K21" s="18"/>
      <c r="L21" s="14"/>
      <c r="M21" s="18"/>
      <c r="N21" s="18"/>
      <c r="O21" s="14"/>
      <c r="P21" s="18"/>
      <c r="Q21" s="18"/>
      <c r="R21" s="14"/>
      <c r="S21" s="18"/>
      <c r="T21" s="18"/>
      <c r="U21" s="14"/>
      <c r="V21" s="18"/>
      <c r="W21" s="18"/>
      <c r="X21" s="14"/>
      <c r="Y21" s="18"/>
      <c r="Z21" s="18"/>
      <c r="AA21" s="14"/>
      <c r="AB21" s="18"/>
      <c r="AC21" s="18"/>
      <c r="AE21" s="1"/>
      <c r="AF21" s="1"/>
      <c r="AH21" s="1"/>
      <c r="AI21" s="1"/>
    </row>
    <row r="22" spans="2:35" x14ac:dyDescent="0.2">
      <c r="B22" s="14" t="s">
        <v>13</v>
      </c>
      <c r="C22" s="14"/>
      <c r="D22" s="23">
        <v>1.56</v>
      </c>
      <c r="E22" s="23">
        <v>2.960852</v>
      </c>
      <c r="F22" s="14"/>
      <c r="G22" s="23">
        <v>0.75932999999999995</v>
      </c>
      <c r="H22" s="23">
        <v>1.376911</v>
      </c>
      <c r="I22" s="14"/>
      <c r="J22" s="23">
        <v>1.2513540000000001</v>
      </c>
      <c r="K22" s="23">
        <v>2.4905010000000001</v>
      </c>
      <c r="L22" s="14"/>
      <c r="M22" s="23">
        <v>1.5350029999999999</v>
      </c>
      <c r="N22" s="23">
        <v>1.9701409999999999</v>
      </c>
      <c r="O22" s="14"/>
      <c r="P22" s="23">
        <v>1.264904</v>
      </c>
      <c r="Q22" s="23">
        <v>1.1864440000000001</v>
      </c>
      <c r="R22" s="14"/>
      <c r="S22" s="23">
        <v>1.8927590000000001</v>
      </c>
      <c r="T22" s="23">
        <v>-0.33814</v>
      </c>
      <c r="U22" s="14"/>
      <c r="V22" s="23">
        <v>1.0723419999999999</v>
      </c>
      <c r="W22" s="23">
        <v>1.7619009999999999</v>
      </c>
      <c r="X22" s="14"/>
      <c r="Y22" s="23">
        <v>1.6409389999999999</v>
      </c>
      <c r="Z22" s="23">
        <v>2.5673919999999999</v>
      </c>
      <c r="AA22" s="14"/>
      <c r="AB22" s="23">
        <v>2.0735679999999999</v>
      </c>
      <c r="AC22" s="23">
        <v>1.7463960000000001</v>
      </c>
      <c r="AE22" s="8">
        <v>2.0735679999999999</v>
      </c>
      <c r="AF22" s="8">
        <v>1.0916920000000001</v>
      </c>
      <c r="AH22" s="8">
        <v>0.445156</v>
      </c>
      <c r="AI22" s="8">
        <v>1.0916920000000001</v>
      </c>
    </row>
    <row r="23" spans="2:35" x14ac:dyDescent="0.2">
      <c r="B23" s="14" t="s">
        <v>14</v>
      </c>
      <c r="C23" s="14"/>
      <c r="D23" s="23">
        <v>2.0099999999999998</v>
      </c>
      <c r="E23" s="23">
        <v>5.7885280000000003</v>
      </c>
      <c r="F23" s="14"/>
      <c r="G23" s="23">
        <v>1.3620049999999999</v>
      </c>
      <c r="H23" s="23">
        <v>2.760618</v>
      </c>
      <c r="I23" s="14"/>
      <c r="J23" s="23">
        <v>1.8625160000000001</v>
      </c>
      <c r="K23" s="23">
        <v>8.0206219999999995</v>
      </c>
      <c r="L23" s="14"/>
      <c r="M23" s="23">
        <v>4.9537279999999999</v>
      </c>
      <c r="N23" s="23">
        <v>6.0956099999999998</v>
      </c>
      <c r="O23" s="14"/>
      <c r="P23" s="23">
        <v>1.5759339999999999</v>
      </c>
      <c r="Q23" s="23">
        <v>1.6065290000000001</v>
      </c>
      <c r="R23" s="14"/>
      <c r="S23" s="23">
        <v>4.9165299999999998</v>
      </c>
      <c r="T23" s="23">
        <v>-0.40899400000000002</v>
      </c>
      <c r="U23" s="14"/>
      <c r="V23" s="23">
        <v>2.184904</v>
      </c>
      <c r="W23" s="23">
        <v>4.1328950000000004</v>
      </c>
      <c r="X23" s="14"/>
      <c r="Y23" s="23">
        <v>4.6693110000000004</v>
      </c>
      <c r="Z23" s="23">
        <v>10.487149</v>
      </c>
      <c r="AA23" s="14"/>
      <c r="AB23" s="23">
        <v>8.0292840000000005</v>
      </c>
      <c r="AC23" s="23">
        <v>4.2903589999999996</v>
      </c>
      <c r="AE23" s="8">
        <v>8.0292840000000005</v>
      </c>
      <c r="AF23" s="8">
        <v>2.1014390000000001</v>
      </c>
      <c r="AH23" s="8">
        <v>8.0292840000000005</v>
      </c>
      <c r="AI23" s="8">
        <v>2.1014390000000001</v>
      </c>
    </row>
    <row r="24" spans="2:35" x14ac:dyDescent="0.2">
      <c r="B24" s="14" t="s">
        <v>15</v>
      </c>
      <c r="C24" s="14"/>
      <c r="D24" s="22">
        <v>0.19669</v>
      </c>
      <c r="E24" s="22">
        <v>7.6827090000000001E-2</v>
      </c>
      <c r="F24" s="24"/>
      <c r="G24" s="22">
        <v>0.46002723000000001</v>
      </c>
      <c r="H24" s="22">
        <v>0.35021797999999998</v>
      </c>
      <c r="I24" s="24"/>
      <c r="J24" s="22">
        <v>0.41376990000000002</v>
      </c>
      <c r="K24" s="22">
        <v>0.11170885999999999</v>
      </c>
      <c r="L24" s="24"/>
      <c r="M24" s="22">
        <v>0.28305538000000002</v>
      </c>
      <c r="N24" s="22">
        <v>0.19588697999999999</v>
      </c>
      <c r="O24" s="24"/>
      <c r="P24" s="22">
        <v>0.36309192000000001</v>
      </c>
      <c r="Q24" s="22">
        <v>0.16042294000000001</v>
      </c>
      <c r="R24" s="24"/>
      <c r="S24" s="22">
        <v>0.45560056999999998</v>
      </c>
      <c r="T24" s="22">
        <v>0.43978383999999998</v>
      </c>
      <c r="U24" s="24"/>
      <c r="V24" s="22">
        <v>0.53826885999999996</v>
      </c>
      <c r="W24" s="22">
        <v>0.19388870999999999</v>
      </c>
      <c r="X24" s="24"/>
      <c r="Y24" s="22">
        <v>0.39523614000000001</v>
      </c>
      <c r="Z24" s="22">
        <v>0.2658375</v>
      </c>
      <c r="AA24" s="24"/>
      <c r="AB24" s="22">
        <v>0.36378369999999999</v>
      </c>
      <c r="AC24" s="22">
        <v>0.32491776999999999</v>
      </c>
      <c r="AD24" s="3"/>
      <c r="AE24" s="7">
        <v>0.36378369999999999</v>
      </c>
      <c r="AF24" s="7">
        <v>0.32491776999999999</v>
      </c>
      <c r="AG24" s="3"/>
      <c r="AH24" s="7">
        <v>0.36378369999999999</v>
      </c>
      <c r="AI24" s="7">
        <v>0.32491776999999999</v>
      </c>
    </row>
    <row r="25" spans="2:35" x14ac:dyDescent="0.2">
      <c r="B25" s="14" t="s">
        <v>16</v>
      </c>
      <c r="C25" s="14"/>
      <c r="D25" s="22">
        <v>4.747465E-2</v>
      </c>
      <c r="E25" s="22">
        <v>3.088173E-2</v>
      </c>
      <c r="F25" s="24"/>
      <c r="G25" s="22">
        <v>0.12582578999999999</v>
      </c>
      <c r="H25" s="22">
        <v>3.4136560000000003E-2</v>
      </c>
      <c r="I25" s="24"/>
      <c r="J25" s="22">
        <v>6.843204E-2</v>
      </c>
      <c r="K25" s="22">
        <v>3.969818E-2</v>
      </c>
      <c r="L25" s="24"/>
      <c r="M25" s="22">
        <v>7.9717499999999997E-2</v>
      </c>
      <c r="N25" s="22">
        <v>5.6405629999999998E-2</v>
      </c>
      <c r="O25" s="24"/>
      <c r="P25" s="22">
        <v>4.6206940000000002E-2</v>
      </c>
      <c r="Q25" s="22">
        <v>2.451095E-2</v>
      </c>
      <c r="R25" s="24"/>
      <c r="S25" s="22">
        <v>5.977209E-2</v>
      </c>
      <c r="T25" s="22">
        <v>3.933296E-2</v>
      </c>
      <c r="U25" s="24"/>
      <c r="V25" s="22">
        <v>7.9498040000000006E-2</v>
      </c>
      <c r="W25" s="22">
        <v>8.0892580000000006E-2</v>
      </c>
      <c r="X25" s="24"/>
      <c r="Y25" s="22">
        <v>7.6439599999999996E-2</v>
      </c>
      <c r="Z25" s="22">
        <v>9.1907329999999995E-2</v>
      </c>
      <c r="AA25" s="24"/>
      <c r="AB25" s="22">
        <v>7.4867130000000004E-2</v>
      </c>
      <c r="AC25" s="22">
        <v>7.9044509999999998E-2</v>
      </c>
      <c r="AD25" s="3"/>
      <c r="AE25" s="7">
        <v>7.4867130000000004E-2</v>
      </c>
      <c r="AF25" s="7">
        <v>8.0852469999999996E-2</v>
      </c>
      <c r="AG25" s="3"/>
      <c r="AH25" s="7">
        <v>7.4867130000000004E-2</v>
      </c>
      <c r="AI25" s="7">
        <v>8.0852469999999996E-2</v>
      </c>
    </row>
    <row r="26" spans="2:35" x14ac:dyDescent="0.2">
      <c r="B26" s="14"/>
      <c r="C26" s="14"/>
      <c r="D26" s="18"/>
      <c r="E26" s="18"/>
      <c r="F26" s="14"/>
      <c r="G26" s="18"/>
      <c r="H26" s="18"/>
      <c r="I26" s="14"/>
      <c r="J26" s="18"/>
      <c r="K26" s="18"/>
      <c r="L26" s="14"/>
      <c r="M26" s="18"/>
      <c r="N26" s="18"/>
      <c r="O26" s="14"/>
      <c r="P26" s="18"/>
      <c r="Q26" s="18"/>
      <c r="R26" s="14"/>
      <c r="S26" s="18"/>
      <c r="T26" s="18"/>
      <c r="U26" s="14"/>
      <c r="V26" s="18"/>
      <c r="W26" s="18"/>
      <c r="X26" s="14"/>
      <c r="Y26" s="18"/>
      <c r="Z26" s="18"/>
      <c r="AA26" s="14"/>
      <c r="AB26" s="18"/>
      <c r="AC26" s="18"/>
      <c r="AE26" s="1"/>
      <c r="AF26" s="1"/>
      <c r="AH26" s="1"/>
      <c r="AI26" s="1"/>
    </row>
    <row r="27" spans="2:35" x14ac:dyDescent="0.2">
      <c r="B27" s="14" t="s">
        <v>17</v>
      </c>
      <c r="C27" s="14"/>
      <c r="D27" s="23">
        <v>10.031748</v>
      </c>
      <c r="E27" s="23">
        <v>1.6935640000000001</v>
      </c>
      <c r="F27" s="14"/>
      <c r="G27" s="23">
        <v>8.0764479999999992</v>
      </c>
      <c r="H27" s="23">
        <v>1.4873670000000001</v>
      </c>
      <c r="I27" s="14"/>
      <c r="J27" s="23">
        <v>12.701955</v>
      </c>
      <c r="K27" s="23">
        <v>2.0838580000000002</v>
      </c>
      <c r="L27" s="14"/>
      <c r="M27" s="23">
        <v>77.989818</v>
      </c>
      <c r="N27" s="23">
        <v>1.9450069999999999</v>
      </c>
      <c r="O27" s="14"/>
      <c r="P27" s="23">
        <v>5.6646330000000003</v>
      </c>
      <c r="Q27" s="23">
        <v>1.2752749999999999</v>
      </c>
      <c r="R27" s="14"/>
      <c r="S27" s="23">
        <v>106.611244</v>
      </c>
      <c r="T27" s="23">
        <v>0.90639099999999995</v>
      </c>
      <c r="U27" s="14"/>
      <c r="V27" s="23">
        <v>20.13991</v>
      </c>
      <c r="W27" s="23">
        <v>1.7184980000000001</v>
      </c>
      <c r="X27" s="14"/>
      <c r="Y27" s="23">
        <v>20.13991</v>
      </c>
      <c r="Z27" s="23">
        <v>2.8033790000000001</v>
      </c>
      <c r="AA27" s="14"/>
      <c r="AB27" s="23">
        <v>103.12002</v>
      </c>
      <c r="AC27" s="23">
        <v>1.8525529999999999</v>
      </c>
      <c r="AE27" s="8">
        <v>103.12002</v>
      </c>
      <c r="AF27" s="8">
        <v>1.3594470000000001</v>
      </c>
      <c r="AH27" s="8">
        <v>103.12002</v>
      </c>
      <c r="AI27" s="8">
        <v>1.3594470000000001</v>
      </c>
    </row>
    <row r="28" spans="2:35" x14ac:dyDescent="0.2"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</row>
    <row r="29" spans="2:35" x14ac:dyDescent="0.2">
      <c r="B29" s="14" t="s">
        <v>19</v>
      </c>
      <c r="C29" s="14"/>
      <c r="D29" s="25" t="s">
        <v>20</v>
      </c>
      <c r="E29" s="25"/>
      <c r="F29" s="14"/>
      <c r="G29" s="25" t="s">
        <v>47</v>
      </c>
      <c r="H29" s="25"/>
      <c r="I29" s="14"/>
      <c r="J29" s="25" t="s">
        <v>20</v>
      </c>
      <c r="K29" s="25"/>
      <c r="L29" s="14"/>
      <c r="M29" s="25" t="s">
        <v>20</v>
      </c>
      <c r="N29" s="25"/>
      <c r="O29" s="14"/>
      <c r="P29" s="25" t="s">
        <v>20</v>
      </c>
      <c r="Q29" s="25"/>
      <c r="R29" s="14"/>
      <c r="S29" s="25" t="s">
        <v>47</v>
      </c>
      <c r="T29" s="25"/>
      <c r="U29" s="14"/>
      <c r="V29" s="25" t="s">
        <v>20</v>
      </c>
      <c r="W29" s="25"/>
      <c r="X29" s="14"/>
      <c r="Y29" s="25" t="s">
        <v>20</v>
      </c>
      <c r="Z29" s="25"/>
      <c r="AA29" s="14"/>
      <c r="AB29" s="25" t="s">
        <v>20</v>
      </c>
      <c r="AC29" s="25"/>
      <c r="AE29" s="11" t="s">
        <v>20</v>
      </c>
      <c r="AF29" s="11"/>
      <c r="AH29" s="11" t="s">
        <v>20</v>
      </c>
      <c r="AI29" s="11"/>
    </row>
    <row r="30" spans="2:35" ht="71" customHeight="1" x14ac:dyDescent="0.2">
      <c r="B30" s="14" t="s">
        <v>27</v>
      </c>
      <c r="C30" s="14"/>
      <c r="D30" s="14"/>
      <c r="E30" s="14"/>
      <c r="F30" s="14"/>
      <c r="G30" s="26" t="s">
        <v>49</v>
      </c>
      <c r="H30" s="26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26" t="s">
        <v>50</v>
      </c>
      <c r="T30" s="26"/>
      <c r="U30" s="14"/>
      <c r="V30" s="14"/>
      <c r="W30" s="14"/>
      <c r="X30" s="14"/>
      <c r="Y30" s="14"/>
      <c r="Z30" s="14"/>
      <c r="AA30" s="14"/>
      <c r="AB30" s="14"/>
      <c r="AC30" s="14"/>
    </row>
    <row r="33" spans="2:8" x14ac:dyDescent="0.2">
      <c r="B33" t="s">
        <v>37</v>
      </c>
      <c r="G33" s="10" t="s">
        <v>24</v>
      </c>
      <c r="H33" s="10"/>
    </row>
    <row r="35" spans="2:8" x14ac:dyDescent="0.2">
      <c r="G35" s="9" t="s">
        <v>25</v>
      </c>
      <c r="H35" s="9"/>
    </row>
    <row r="38" spans="2:8" x14ac:dyDescent="0.2">
      <c r="G38" s="1" t="s">
        <v>1</v>
      </c>
      <c r="H38" s="1" t="s">
        <v>18</v>
      </c>
    </row>
    <row r="39" spans="2:8" x14ac:dyDescent="0.2">
      <c r="G39" s="1" t="s">
        <v>22</v>
      </c>
      <c r="H39" s="1" t="s">
        <v>23</v>
      </c>
    </row>
    <row r="40" spans="2:8" x14ac:dyDescent="0.2">
      <c r="G40" s="4">
        <v>5.0000000000000001E-4</v>
      </c>
      <c r="H40" s="4">
        <v>5.0000000000000001E-4</v>
      </c>
    </row>
    <row r="41" spans="2:8" x14ac:dyDescent="0.2">
      <c r="G41" s="1"/>
      <c r="H41" s="1"/>
    </row>
    <row r="42" spans="2:8" x14ac:dyDescent="0.2">
      <c r="G42" s="1">
        <v>2161</v>
      </c>
      <c r="H42" s="1">
        <v>249</v>
      </c>
    </row>
    <row r="43" spans="2:8" x14ac:dyDescent="0.2">
      <c r="G43" s="1">
        <v>39549</v>
      </c>
      <c r="H43" s="1">
        <v>4870</v>
      </c>
    </row>
    <row r="44" spans="2:8" x14ac:dyDescent="0.2">
      <c r="G44" s="5">
        <f>+G42/G43</f>
        <v>5.4641078156211283E-2</v>
      </c>
      <c r="H44" s="5">
        <f>+H42/H43</f>
        <v>5.1129363449691989E-2</v>
      </c>
    </row>
    <row r="45" spans="2:8" x14ac:dyDescent="0.2">
      <c r="G45" s="1"/>
      <c r="H45" s="1"/>
    </row>
    <row r="46" spans="2:8" x14ac:dyDescent="0.2">
      <c r="G46" s="1"/>
      <c r="H46" s="1"/>
    </row>
    <row r="47" spans="2:8" x14ac:dyDescent="0.2">
      <c r="G47" s="6">
        <f>+G42/G43*365*24</f>
        <v>478.65584464841083</v>
      </c>
      <c r="H47" s="6">
        <f>+H42/H43*365*24</f>
        <v>447.8932238193018</v>
      </c>
    </row>
    <row r="48" spans="2:8" x14ac:dyDescent="0.2">
      <c r="G48" s="5">
        <f>+G40*G47</f>
        <v>0.23932792232420541</v>
      </c>
      <c r="H48" s="5">
        <f>+H40*H47</f>
        <v>0.2239466119096509</v>
      </c>
    </row>
    <row r="49" spans="7:8" x14ac:dyDescent="0.2">
      <c r="G49" s="1"/>
      <c r="H49" s="1"/>
    </row>
    <row r="50" spans="7:8" x14ac:dyDescent="0.2">
      <c r="G50" s="7">
        <v>0.50600000000000001</v>
      </c>
      <c r="H50" s="7">
        <v>0.51200000000000001</v>
      </c>
    </row>
    <row r="51" spans="7:8" x14ac:dyDescent="0.2">
      <c r="G51" s="7">
        <v>2.1610999999999998</v>
      </c>
      <c r="H51" s="7">
        <v>2.0908000000000002</v>
      </c>
    </row>
    <row r="52" spans="7:8" x14ac:dyDescent="0.2">
      <c r="G52" s="1"/>
      <c r="H52" s="1"/>
    </row>
    <row r="53" spans="7:8" x14ac:dyDescent="0.2">
      <c r="G53" s="8">
        <v>1.525712</v>
      </c>
      <c r="H53" s="8">
        <v>0.70019900000000002</v>
      </c>
    </row>
    <row r="54" spans="7:8" x14ac:dyDescent="0.2">
      <c r="G54" s="8">
        <v>3.8111419999999998</v>
      </c>
      <c r="H54" s="8">
        <v>1.3512630000000001</v>
      </c>
    </row>
    <row r="55" spans="7:8" x14ac:dyDescent="0.2">
      <c r="G55" s="7">
        <v>0.44260353000000002</v>
      </c>
      <c r="H55" s="7">
        <v>0.34371287</v>
      </c>
    </row>
    <row r="56" spans="7:8" x14ac:dyDescent="0.2">
      <c r="G56" s="7">
        <v>7.1859199999999998E-2</v>
      </c>
      <c r="H56" s="7">
        <v>2.4597170000000002E-2</v>
      </c>
    </row>
    <row r="57" spans="7:8" x14ac:dyDescent="0.2">
      <c r="G57" s="1"/>
      <c r="H57" s="1"/>
    </row>
    <row r="58" spans="7:8" x14ac:dyDescent="0.2">
      <c r="G58" s="8">
        <v>47.857607999999999</v>
      </c>
      <c r="H58" s="8">
        <v>1.242019</v>
      </c>
    </row>
    <row r="60" spans="7:8" x14ac:dyDescent="0.2">
      <c r="G60" s="12" t="s">
        <v>26</v>
      </c>
      <c r="H60" s="12"/>
    </row>
    <row r="61" spans="7:8" x14ac:dyDescent="0.2">
      <c r="G61" s="13" t="s">
        <v>28</v>
      </c>
      <c r="H61" s="13"/>
    </row>
  </sheetData>
  <mergeCells count="39">
    <mergeCell ref="G61:H61"/>
    <mergeCell ref="S30:T30"/>
    <mergeCell ref="AH2:AI2"/>
    <mergeCell ref="AH4:AI4"/>
    <mergeCell ref="AH29:AI29"/>
    <mergeCell ref="G33:H33"/>
    <mergeCell ref="G35:H35"/>
    <mergeCell ref="G60:H60"/>
    <mergeCell ref="AB2:AC2"/>
    <mergeCell ref="AB4:AC4"/>
    <mergeCell ref="AB29:AC29"/>
    <mergeCell ref="AE2:AF2"/>
    <mergeCell ref="AE4:AF4"/>
    <mergeCell ref="AE29:AF29"/>
    <mergeCell ref="V2:W2"/>
    <mergeCell ref="V4:W4"/>
    <mergeCell ref="V29:W29"/>
    <mergeCell ref="Y4:Z4"/>
    <mergeCell ref="Y2:Z2"/>
    <mergeCell ref="Y29:Z29"/>
    <mergeCell ref="P2:Q2"/>
    <mergeCell ref="P4:Q4"/>
    <mergeCell ref="P29:Q29"/>
    <mergeCell ref="S2:T2"/>
    <mergeCell ref="S4:T4"/>
    <mergeCell ref="S29:T29"/>
    <mergeCell ref="G30:H30"/>
    <mergeCell ref="J2:K2"/>
    <mergeCell ref="J4:K4"/>
    <mergeCell ref="J29:K29"/>
    <mergeCell ref="M2:N2"/>
    <mergeCell ref="M4:N4"/>
    <mergeCell ref="M29:N29"/>
    <mergeCell ref="D4:E4"/>
    <mergeCell ref="D2:E2"/>
    <mergeCell ref="D29:E29"/>
    <mergeCell ref="G2:H2"/>
    <mergeCell ref="G4:H4"/>
    <mergeCell ref="G29:H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LIM Wen Kai</dc:creator>
  <cp:lastModifiedBy>Jonathan LIM Wen Kai</cp:lastModifiedBy>
  <dcterms:created xsi:type="dcterms:W3CDTF">2026-02-12T14:29:29Z</dcterms:created>
  <dcterms:modified xsi:type="dcterms:W3CDTF">2026-02-24T15:24:29Z</dcterms:modified>
</cp:coreProperties>
</file>